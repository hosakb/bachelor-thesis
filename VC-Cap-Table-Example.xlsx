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filterPrivacy="1"/>
  <xr:revisionPtr revIDLastSave="0" documentId="13_ncr:1_{A3989B8B-C1E4-4505-8DAD-7230A83C6DE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xample 1" sheetId="1" r:id="rId1"/>
    <sheet name="Examp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brNeAs/kx1dZuWSdwumWv0TN3Fw=="/>
    </ext>
  </extLst>
</workbook>
</file>

<file path=xl/calcChain.xml><?xml version="1.0" encoding="utf-8"?>
<calcChain xmlns="http://schemas.openxmlformats.org/spreadsheetml/2006/main">
  <c r="B11" i="1" l="1"/>
  <c r="B4" i="1"/>
  <c r="B4" i="2"/>
  <c r="C6" i="2"/>
  <c r="C7" i="2"/>
  <c r="B8" i="2"/>
  <c r="C8" i="2"/>
  <c r="C9" i="2" s="1"/>
  <c r="B9" i="2"/>
  <c r="B12" i="2"/>
  <c r="D12" i="2"/>
  <c r="F16" i="2"/>
  <c r="F17" i="2"/>
  <c r="F18" i="2"/>
  <c r="F19" i="2"/>
  <c r="F20" i="2"/>
  <c r="C23" i="2"/>
  <c r="C24" i="2" s="1"/>
  <c r="D23" i="2"/>
  <c r="E21" i="2" l="1"/>
  <c r="E22" i="2"/>
  <c r="F22" i="2" s="1"/>
  <c r="H24" i="1"/>
  <c r="H25" i="1" s="1"/>
  <c r="G24" i="1"/>
  <c r="G25" i="1" s="1"/>
  <c r="F24" i="1"/>
  <c r="E24" i="1"/>
  <c r="D24" i="1"/>
  <c r="C24" i="1"/>
  <c r="H23" i="1"/>
  <c r="I23" i="1" s="1"/>
  <c r="H22" i="1"/>
  <c r="H21" i="1"/>
  <c r="I21" i="1" s="1"/>
  <c r="H20" i="1"/>
  <c r="I20" i="1" s="1"/>
  <c r="H19" i="1"/>
  <c r="I19" i="1" s="1"/>
  <c r="H18" i="1"/>
  <c r="H17" i="1"/>
  <c r="I17" i="1" s="1"/>
  <c r="H16" i="1"/>
  <c r="I16" i="1" s="1"/>
  <c r="H15" i="1"/>
  <c r="I15" i="1" s="1"/>
  <c r="C7" i="1"/>
  <c r="C6" i="1" s="1"/>
  <c r="E23" i="2" l="1"/>
  <c r="F21" i="2"/>
  <c r="C25" i="1"/>
  <c r="D25" i="1"/>
  <c r="E25" i="1"/>
  <c r="I22" i="1"/>
  <c r="F25" i="1"/>
  <c r="I18" i="1"/>
  <c r="I24" i="1" s="1"/>
  <c r="F23" i="2" l="1"/>
  <c r="E24" i="2" s="1"/>
  <c r="G17" i="2" l="1"/>
  <c r="G18" i="2"/>
  <c r="D24" i="2"/>
  <c r="G19" i="2"/>
  <c r="F24" i="2"/>
  <c r="G20" i="2"/>
  <c r="G16" i="2"/>
  <c r="G22" i="2"/>
  <c r="G21" i="2"/>
  <c r="G23" i="2" l="1"/>
</calcChain>
</file>

<file path=xl/sharedStrings.xml><?xml version="1.0" encoding="utf-8"?>
<sst xmlns="http://schemas.openxmlformats.org/spreadsheetml/2006/main" count="50" uniqueCount="33">
  <si>
    <t>Date</t>
  </si>
  <si>
    <t>Round</t>
  </si>
  <si>
    <t>Ownership Acquired by New Investors</t>
  </si>
  <si>
    <t>Pre-Money Valuation ($M)</t>
  </si>
  <si>
    <t>Post-Money Valuation ($M)</t>
  </si>
  <si>
    <t>Acme.com - Cap Table</t>
  </si>
  <si>
    <t>Shares</t>
  </si>
  <si>
    <t>Investor</t>
  </si>
  <si>
    <t>Common</t>
  </si>
  <si>
    <t>Series A</t>
  </si>
  <si>
    <t>Series B</t>
  </si>
  <si>
    <t>Series C</t>
  </si>
  <si>
    <t>Options</t>
  </si>
  <si>
    <t>Total Shares</t>
  </si>
  <si>
    <t>% Ownership</t>
  </si>
  <si>
    <t>Founder</t>
  </si>
  <si>
    <t>CEO</t>
  </si>
  <si>
    <t>CFO</t>
  </si>
  <si>
    <t>COO</t>
  </si>
  <si>
    <t>Former Employees</t>
  </si>
  <si>
    <t>Angel Investor</t>
  </si>
  <si>
    <t>Total</t>
  </si>
  <si>
    <t>% Total</t>
  </si>
  <si>
    <t>Series A Investor 2</t>
  </si>
  <si>
    <t>Series A Investor 1</t>
  </si>
  <si>
    <t>Investment ($)</t>
  </si>
  <si>
    <t>B</t>
  </si>
  <si>
    <t>Investment Round</t>
  </si>
  <si>
    <t>Startup - Cap Table</t>
  </si>
  <si>
    <t>A</t>
  </si>
  <si>
    <t>Seed Investor</t>
  </si>
  <si>
    <t>Startup Investor 1</t>
  </si>
  <si>
    <t>Startup Investor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</si>
</sst>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_(* #,##0.00_);_(* \(#,##0.00\);_(* &quot;-&quot;??_);_(@_)"/>
    <numFmt numFmtId="168" formatCode="_(* #,##0_);_(* \(#,##0\);_(* &quot;-&quot;??_);_(@_)"/>
    <numFmt numFmtId="169" formatCode="&quot;$&quot;0&quot;M&quot;"/>
    <numFmt numFmtId="170" formatCode="0.0%"/>
    <numFmt numFmtId="171" formatCode="&quot;$&quot;0.0&quot;M&quot;"/>
    <numFmt numFmtId="172" formatCode="[$-409]mmm\-yy"/>
  </numFmts>
  <fonts count="11" x14ac:knownFonts="1">
    <font>
      <sz val="11"/>
      <color theme="1"/>
      <name val="Arial"/>
    </font>
    <font>
      <sz val="11"/>
      <color theme="1"/>
      <name val="Calibri"/>
    </font>
    <font>
      <sz val="11"/>
      <color rgb="FF0000FF"/>
      <name val="Calibri"/>
    </font>
    <font>
      <sz val="11"/>
      <color theme="1"/>
      <name val="Calibri"/>
    </font>
    <font>
      <b/>
      <sz val="16"/>
      <color theme="1"/>
      <name val="Arial"/>
    </font>
    <font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Times New Roman"/>
    </font>
    <font>
      <sz val="11"/>
      <name val="Arial"/>
    </font>
    <font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9" fontId="2" fillId="0" borderId="0" xfId="0" applyNumberFormat="1" applyFont="1"/>
    <xf numFmtId="164" fontId="3" fillId="0" borderId="0" xfId="0" applyNumberFormat="1" applyFont="1"/>
    <xf numFmtId="0" fontId="4" fillId="0" borderId="0" xfId="0" applyFont="1"/>
    <xf numFmtId="168" fontId="5" fillId="0" borderId="0" xfId="0" applyNumberFormat="1" applyFont="1"/>
    <xf numFmtId="168" fontId="6" fillId="0" borderId="0" xfId="0" applyNumberFormat="1" applyFont="1"/>
    <xf numFmtId="0" fontId="7" fillId="0" borderId="1" xfId="0" applyFont="1" applyBorder="1"/>
    <xf numFmtId="169" fontId="7" fillId="0" borderId="1" xfId="0" applyNumberFormat="1" applyFont="1" applyBorder="1"/>
    <xf numFmtId="168" fontId="6" fillId="0" borderId="1" xfId="0" applyNumberFormat="1" applyFont="1" applyBorder="1"/>
    <xf numFmtId="168" fontId="7" fillId="0" borderId="1" xfId="0" applyNumberFormat="1" applyFont="1" applyBorder="1"/>
    <xf numFmtId="0" fontId="7" fillId="0" borderId="0" xfId="0" applyFont="1"/>
    <xf numFmtId="169" fontId="8" fillId="0" borderId="0" xfId="0" applyNumberFormat="1" applyFont="1" applyAlignment="1">
      <alignment horizontal="right"/>
    </xf>
    <xf numFmtId="168" fontId="7" fillId="0" borderId="0" xfId="0" applyNumberFormat="1" applyFont="1"/>
    <xf numFmtId="0" fontId="7" fillId="0" borderId="2" xfId="0" applyFont="1" applyBorder="1"/>
    <xf numFmtId="168" fontId="7" fillId="0" borderId="5" xfId="0" applyNumberFormat="1" applyFont="1" applyBorder="1" applyAlignment="1">
      <alignment horizontal="center"/>
    </xf>
    <xf numFmtId="0" fontId="7" fillId="0" borderId="6" xfId="0" applyFont="1" applyBorder="1"/>
    <xf numFmtId="168" fontId="7" fillId="0" borderId="6" xfId="0" applyNumberFormat="1" applyFont="1" applyBorder="1"/>
    <xf numFmtId="168" fontId="7" fillId="0" borderId="7" xfId="0" applyNumberFormat="1" applyFont="1" applyBorder="1"/>
    <xf numFmtId="168" fontId="7" fillId="0" borderId="8" xfId="0" applyNumberFormat="1" applyFont="1" applyBorder="1"/>
    <xf numFmtId="168" fontId="7" fillId="0" borderId="9" xfId="0" applyNumberFormat="1" applyFont="1" applyBorder="1"/>
    <xf numFmtId="0" fontId="6" fillId="0" borderId="0" xfId="0" applyFont="1" applyAlignment="1">
      <alignment horizontal="left"/>
    </xf>
    <xf numFmtId="168" fontId="10" fillId="0" borderId="0" xfId="0" applyNumberFormat="1" applyFont="1"/>
    <xf numFmtId="9" fontId="3" fillId="0" borderId="0" xfId="0" applyNumberFormat="1" applyFont="1"/>
    <xf numFmtId="168" fontId="10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7" fillId="0" borderId="10" xfId="0" applyFont="1" applyBorder="1"/>
    <xf numFmtId="168" fontId="7" fillId="0" borderId="11" xfId="0" applyNumberFormat="1" applyFont="1" applyBorder="1"/>
    <xf numFmtId="9" fontId="7" fillId="0" borderId="11" xfId="0" applyNumberFormat="1" applyFont="1" applyBorder="1"/>
    <xf numFmtId="0" fontId="6" fillId="0" borderId="0" xfId="0" applyFont="1"/>
    <xf numFmtId="170" fontId="6" fillId="0" borderId="0" xfId="0" applyNumberFormat="1" applyFont="1"/>
    <xf numFmtId="10" fontId="6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9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5" fontId="7" fillId="0" borderId="7" xfId="0" applyNumberFormat="1" applyFont="1" applyBorder="1" applyAlignment="1">
      <alignment horizontal="right"/>
    </xf>
    <xf numFmtId="165" fontId="10" fillId="0" borderId="7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0" fontId="7" fillId="0" borderId="3" xfId="0" applyFont="1" applyBorder="1"/>
    <xf numFmtId="171" fontId="7" fillId="0" borderId="1" xfId="0" applyNumberFormat="1" applyFont="1" applyBorder="1"/>
    <xf numFmtId="166" fontId="1" fillId="0" borderId="0" xfId="0" applyNumberFormat="1" applyFont="1"/>
    <xf numFmtId="164" fontId="1" fillId="0" borderId="0" xfId="0" applyNumberFormat="1" applyFont="1"/>
    <xf numFmtId="172" fontId="2" fillId="0" borderId="0" xfId="0" applyNumberFormat="1" applyFont="1"/>
    <xf numFmtId="168" fontId="7" fillId="0" borderId="2" xfId="0" applyNumberFormat="1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168" fontId="7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000"/>
  <sheetViews>
    <sheetView showGridLines="0" tabSelected="1" workbookViewId="0">
      <selection activeCell="L17" sqref="L17"/>
    </sheetView>
  </sheetViews>
  <sheetFormatPr defaultColWidth="12.59765625" defaultRowHeight="15" customHeight="1" x14ac:dyDescent="0.25"/>
  <cols>
    <col min="1" max="1" width="4.19921875" customWidth="1"/>
    <col min="2" max="2" width="53.3984375" customWidth="1"/>
    <col min="3" max="3" width="10" customWidth="1"/>
    <col min="4" max="6" width="9.09765625" customWidth="1"/>
    <col min="7" max="7" width="11" customWidth="1"/>
    <col min="8" max="8" width="11.69921875" customWidth="1"/>
    <col min="9" max="9" width="12.5" customWidth="1"/>
    <col min="10" max="26" width="7.59765625" customWidth="1"/>
  </cols>
  <sheetData>
    <row r="1" spans="2:9" ht="14.25" customHeight="1" x14ac:dyDescent="0.25"/>
    <row r="2" spans="2:9" ht="14.25" customHeight="1" x14ac:dyDescent="0.3">
      <c r="B2" s="1" t="s">
        <v>0</v>
      </c>
      <c r="C2" s="2">
        <v>44562</v>
      </c>
    </row>
    <row r="3" spans="2:9" ht="14.25" customHeight="1" x14ac:dyDescent="0.3">
      <c r="B3" s="1" t="s">
        <v>1</v>
      </c>
      <c r="C3" s="3" t="s">
        <v>29</v>
      </c>
    </row>
    <row r="4" spans="2:9" ht="14.25" customHeight="1" x14ac:dyDescent="0.3">
      <c r="B4" s="1" t="str">
        <f>"Series "&amp;C3&amp;" Invested Capital ($M)"</f>
        <v>Series A Invested Capital ($M)</v>
      </c>
      <c r="C4" s="4">
        <v>2500000</v>
      </c>
    </row>
    <row r="5" spans="2:9" ht="14.25" customHeight="1" x14ac:dyDescent="0.3">
      <c r="B5" s="1" t="s">
        <v>2</v>
      </c>
      <c r="C5" s="5">
        <v>0.4</v>
      </c>
    </row>
    <row r="6" spans="2:9" ht="14.25" customHeight="1" x14ac:dyDescent="0.3">
      <c r="B6" s="1" t="s">
        <v>3</v>
      </c>
      <c r="C6" s="6">
        <f>C7-C4</f>
        <v>3750000</v>
      </c>
    </row>
    <row r="7" spans="2:9" ht="14.25" customHeight="1" x14ac:dyDescent="0.3">
      <c r="B7" s="1" t="s">
        <v>4</v>
      </c>
      <c r="C7" s="6">
        <f>C4/C5</f>
        <v>6250000</v>
      </c>
    </row>
    <row r="8" spans="2:9" ht="14.25" customHeight="1" x14ac:dyDescent="0.25"/>
    <row r="9" spans="2:9" ht="14.25" customHeight="1" x14ac:dyDescent="0.25"/>
    <row r="10" spans="2:9" ht="23.25" customHeight="1" x14ac:dyDescent="0.4">
      <c r="B10" s="7" t="s">
        <v>28</v>
      </c>
      <c r="C10" s="8"/>
      <c r="D10" s="9"/>
      <c r="E10" s="9"/>
      <c r="F10" s="9"/>
      <c r="G10" s="9"/>
      <c r="H10" s="9"/>
    </row>
    <row r="11" spans="2:9" ht="14.25" customHeight="1" x14ac:dyDescent="0.25">
      <c r="B11" s="10" t="str">
        <f>"Series "&amp;C3&amp; " Investment Round" &amp;TEXT(C2," mm/yy")</f>
        <v>Series A Investment Round 00/yy</v>
      </c>
      <c r="C11" s="11"/>
      <c r="D11" s="12"/>
      <c r="E11" s="12"/>
      <c r="F11" s="12"/>
      <c r="G11" s="12"/>
      <c r="H11" s="13"/>
    </row>
    <row r="12" spans="2:9" ht="14.25" customHeight="1" x14ac:dyDescent="0.25">
      <c r="B12" s="14"/>
      <c r="C12" s="15"/>
      <c r="D12" s="9"/>
      <c r="E12" s="9"/>
      <c r="F12" s="9"/>
      <c r="G12" s="9"/>
      <c r="H12" s="16"/>
    </row>
    <row r="13" spans="2:9" ht="14.25" customHeight="1" x14ac:dyDescent="0.25">
      <c r="B13" s="17"/>
      <c r="C13" s="48" t="s">
        <v>6</v>
      </c>
      <c r="D13" s="49"/>
      <c r="E13" s="49"/>
      <c r="F13" s="49"/>
      <c r="G13" s="49"/>
      <c r="H13" s="50"/>
      <c r="I13" s="18"/>
    </row>
    <row r="14" spans="2:9" ht="14.25" customHeight="1" x14ac:dyDescent="0.25">
      <c r="B14" s="19" t="s">
        <v>7</v>
      </c>
      <c r="C14" s="20" t="s">
        <v>8</v>
      </c>
      <c r="D14" s="21" t="s">
        <v>9</v>
      </c>
      <c r="E14" s="21" t="s">
        <v>10</v>
      </c>
      <c r="F14" s="21" t="s">
        <v>11</v>
      </c>
      <c r="G14" s="21" t="s">
        <v>12</v>
      </c>
      <c r="H14" s="22" t="s">
        <v>13</v>
      </c>
      <c r="I14" s="23" t="s">
        <v>14</v>
      </c>
    </row>
    <row r="15" spans="2:9" ht="14.25" customHeight="1" x14ac:dyDescent="0.3">
      <c r="B15" s="24" t="s">
        <v>15</v>
      </c>
      <c r="C15" s="25">
        <v>1000</v>
      </c>
      <c r="D15" s="25"/>
      <c r="E15" s="25"/>
      <c r="F15" s="25"/>
      <c r="G15" s="25">
        <v>500</v>
      </c>
      <c r="H15" s="9">
        <f t="shared" ref="H15:H23" si="0">SUM(C15:G15)</f>
        <v>1500</v>
      </c>
      <c r="I15" s="26">
        <f t="shared" ref="I15:I23" si="1">H15/$H$24</f>
        <v>3.6057692307692304E-2</v>
      </c>
    </row>
    <row r="16" spans="2:9" ht="14.25" customHeight="1" x14ac:dyDescent="0.3">
      <c r="B16" s="24" t="s">
        <v>16</v>
      </c>
      <c r="C16" s="25">
        <v>2000</v>
      </c>
      <c r="D16" s="25"/>
      <c r="E16" s="25"/>
      <c r="F16" s="25"/>
      <c r="G16" s="25">
        <v>600</v>
      </c>
      <c r="H16" s="9">
        <f t="shared" si="0"/>
        <v>2600</v>
      </c>
      <c r="I16" s="26">
        <f t="shared" si="1"/>
        <v>6.25E-2</v>
      </c>
    </row>
    <row r="17" spans="2:9" ht="14.25" customHeight="1" x14ac:dyDescent="0.3">
      <c r="B17" s="24" t="s">
        <v>17</v>
      </c>
      <c r="C17" s="25">
        <v>3000</v>
      </c>
      <c r="D17" s="25"/>
      <c r="E17" s="25"/>
      <c r="F17" s="25"/>
      <c r="G17" s="25">
        <v>700</v>
      </c>
      <c r="H17" s="9">
        <f t="shared" si="0"/>
        <v>3700</v>
      </c>
      <c r="I17" s="26">
        <f t="shared" si="1"/>
        <v>8.8942307692307696E-2</v>
      </c>
    </row>
    <row r="18" spans="2:9" ht="14.25" customHeight="1" x14ac:dyDescent="0.3">
      <c r="B18" s="24" t="s">
        <v>18</v>
      </c>
      <c r="C18" s="25">
        <v>4000</v>
      </c>
      <c r="D18" s="25"/>
      <c r="E18" s="25"/>
      <c r="F18" s="25"/>
      <c r="G18" s="25">
        <v>800</v>
      </c>
      <c r="H18" s="9">
        <f t="shared" si="0"/>
        <v>4800</v>
      </c>
      <c r="I18" s="26">
        <f t="shared" si="1"/>
        <v>0.11538461538461539</v>
      </c>
    </row>
    <row r="19" spans="2:9" ht="14.25" customHeight="1" x14ac:dyDescent="0.3">
      <c r="B19" s="24" t="s">
        <v>19</v>
      </c>
      <c r="C19" s="25">
        <v>5000</v>
      </c>
      <c r="D19" s="25"/>
      <c r="E19" s="25"/>
      <c r="F19" s="25"/>
      <c r="G19" s="25"/>
      <c r="H19" s="9">
        <f t="shared" si="0"/>
        <v>5000</v>
      </c>
      <c r="I19" s="26">
        <f t="shared" si="1"/>
        <v>0.1201923076923077</v>
      </c>
    </row>
    <row r="20" spans="2:9" ht="14.25" customHeight="1" x14ac:dyDescent="0.3">
      <c r="B20" s="24" t="s">
        <v>30</v>
      </c>
      <c r="C20" s="25"/>
      <c r="D20" s="27">
        <v>1000</v>
      </c>
      <c r="E20" s="27">
        <v>2000</v>
      </c>
      <c r="F20" s="27">
        <v>3000</v>
      </c>
      <c r="G20" s="27"/>
      <c r="H20" s="28">
        <f t="shared" si="0"/>
        <v>6000</v>
      </c>
      <c r="I20" s="26">
        <f t="shared" si="1"/>
        <v>0.14423076923076922</v>
      </c>
    </row>
    <row r="21" spans="2:9" ht="14.25" customHeight="1" x14ac:dyDescent="0.3">
      <c r="B21" s="24" t="s">
        <v>31</v>
      </c>
      <c r="C21" s="25"/>
      <c r="D21" s="27"/>
      <c r="E21" s="27">
        <v>3000</v>
      </c>
      <c r="F21" s="27">
        <v>4000</v>
      </c>
      <c r="G21" s="27"/>
      <c r="H21" s="28">
        <f t="shared" si="0"/>
        <v>7000</v>
      </c>
      <c r="I21" s="26">
        <f t="shared" si="1"/>
        <v>0.16826923076923078</v>
      </c>
    </row>
    <row r="22" spans="2:9" ht="14.25" customHeight="1" x14ac:dyDescent="0.3">
      <c r="B22" s="24" t="s">
        <v>32</v>
      </c>
      <c r="C22" s="25"/>
      <c r="D22" s="27"/>
      <c r="E22" s="27"/>
      <c r="F22" s="27">
        <v>5000</v>
      </c>
      <c r="G22" s="27"/>
      <c r="H22" s="28">
        <f t="shared" si="0"/>
        <v>5000</v>
      </c>
      <c r="I22" s="26">
        <f t="shared" si="1"/>
        <v>0.1201923076923077</v>
      </c>
    </row>
    <row r="23" spans="2:9" ht="14.25" customHeight="1" x14ac:dyDescent="0.3">
      <c r="B23" s="24" t="s">
        <v>20</v>
      </c>
      <c r="C23" s="25">
        <v>6000</v>
      </c>
      <c r="D23" s="25"/>
      <c r="E23" s="25"/>
      <c r="F23" s="25"/>
      <c r="G23" s="25"/>
      <c r="H23" s="9">
        <f t="shared" si="0"/>
        <v>6000</v>
      </c>
      <c r="I23" s="26">
        <f t="shared" si="1"/>
        <v>0.14423076923076922</v>
      </c>
    </row>
    <row r="24" spans="2:9" ht="14.25" customHeight="1" x14ac:dyDescent="0.25">
      <c r="B24" s="29" t="s">
        <v>21</v>
      </c>
      <c r="C24" s="30">
        <f t="shared" ref="C24:I24" si="2">SUM(C15:C23)</f>
        <v>21000</v>
      </c>
      <c r="D24" s="30">
        <f t="shared" si="2"/>
        <v>1000</v>
      </c>
      <c r="E24" s="30">
        <f t="shared" si="2"/>
        <v>5000</v>
      </c>
      <c r="F24" s="30">
        <f t="shared" si="2"/>
        <v>12000</v>
      </c>
      <c r="G24" s="30">
        <f t="shared" si="2"/>
        <v>2600</v>
      </c>
      <c r="H24" s="30">
        <f t="shared" si="2"/>
        <v>41600</v>
      </c>
      <c r="I24" s="31">
        <f t="shared" si="2"/>
        <v>1</v>
      </c>
    </row>
    <row r="25" spans="2:9" ht="14.25" customHeight="1" x14ac:dyDescent="0.25">
      <c r="B25" s="32" t="s">
        <v>22</v>
      </c>
      <c r="C25" s="33">
        <f t="shared" ref="C25:H25" si="3">C24/$H$24</f>
        <v>0.50480769230769229</v>
      </c>
      <c r="D25" s="33">
        <f t="shared" si="3"/>
        <v>2.403846153846154E-2</v>
      </c>
      <c r="E25" s="33">
        <f t="shared" si="3"/>
        <v>0.1201923076923077</v>
      </c>
      <c r="F25" s="33">
        <f t="shared" si="3"/>
        <v>0.28846153846153844</v>
      </c>
      <c r="G25" s="33">
        <f t="shared" si="3"/>
        <v>6.25E-2</v>
      </c>
      <c r="H25" s="33">
        <f t="shared" si="3"/>
        <v>1</v>
      </c>
      <c r="I25" s="34"/>
    </row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3">
      <c r="I31" s="35"/>
    </row>
    <row r="32" spans="2:9" ht="14.25" customHeight="1" x14ac:dyDescent="0.25"/>
    <row r="33" spans="9:9" ht="14.25" customHeight="1" x14ac:dyDescent="0.25"/>
    <row r="34" spans="9:9" ht="14.25" customHeight="1" x14ac:dyDescent="0.3">
      <c r="I34" s="36"/>
    </row>
    <row r="35" spans="9:9" ht="14.25" customHeight="1" x14ac:dyDescent="0.3">
      <c r="I35" s="36"/>
    </row>
    <row r="36" spans="9:9" ht="14.25" customHeight="1" x14ac:dyDescent="0.3">
      <c r="I36" s="26"/>
    </row>
    <row r="37" spans="9:9" ht="14.25" customHeight="1" x14ac:dyDescent="0.25"/>
    <row r="38" spans="9:9" ht="14.25" customHeight="1" x14ac:dyDescent="0.25"/>
    <row r="39" spans="9:9" ht="14.25" customHeight="1" x14ac:dyDescent="0.25"/>
    <row r="40" spans="9:9" ht="14.25" customHeight="1" x14ac:dyDescent="0.25"/>
    <row r="41" spans="9:9" ht="14.25" customHeight="1" x14ac:dyDescent="0.25"/>
    <row r="42" spans="9:9" ht="14.25" customHeight="1" x14ac:dyDescent="0.25"/>
    <row r="43" spans="9:9" ht="14.25" customHeight="1" x14ac:dyDescent="0.25"/>
    <row r="44" spans="9:9" ht="14.25" customHeight="1" x14ac:dyDescent="0.25"/>
    <row r="45" spans="9:9" ht="14.25" customHeight="1" x14ac:dyDescent="0.25"/>
    <row r="46" spans="9:9" ht="14.25" customHeight="1" x14ac:dyDescent="0.25"/>
    <row r="47" spans="9:9" ht="14.25" customHeight="1" x14ac:dyDescent="0.25"/>
    <row r="48" spans="9:9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3:H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8397-602F-4B32-9D79-0891384AF944}">
  <sheetPr>
    <pageSetUpPr fitToPage="1"/>
  </sheetPr>
  <dimension ref="B1:G1000"/>
  <sheetViews>
    <sheetView showGridLines="0" workbookViewId="0"/>
  </sheetViews>
  <sheetFormatPr defaultColWidth="12.59765625" defaultRowHeight="15" customHeight="1" x14ac:dyDescent="0.25"/>
  <cols>
    <col min="1" max="1" width="4.19921875" customWidth="1"/>
    <col min="2" max="2" width="53.3984375" customWidth="1"/>
    <col min="3" max="3" width="12.59765625" customWidth="1"/>
    <col min="4" max="4" width="10" customWidth="1"/>
    <col min="5" max="5" width="9.09765625" customWidth="1"/>
    <col min="6" max="6" width="11.69921875" customWidth="1"/>
    <col min="7" max="7" width="12.5" customWidth="1"/>
    <col min="8" max="26" width="7.59765625" customWidth="1"/>
  </cols>
  <sheetData>
    <row r="1" spans="2:7" ht="14.25" customHeight="1" x14ac:dyDescent="0.25"/>
    <row r="2" spans="2:7" ht="14.25" customHeight="1" x14ac:dyDescent="0.3">
      <c r="B2" s="1" t="s">
        <v>0</v>
      </c>
      <c r="C2" s="47">
        <v>44197</v>
      </c>
    </row>
    <row r="3" spans="2:7" ht="14.25" customHeight="1" x14ac:dyDescent="0.3">
      <c r="B3" s="1" t="s">
        <v>27</v>
      </c>
      <c r="C3" s="3" t="s">
        <v>26</v>
      </c>
    </row>
    <row r="4" spans="2:7" ht="14.25" customHeight="1" x14ac:dyDescent="0.3">
      <c r="B4" s="1" t="str">
        <f>"Series "&amp;C3&amp;" Invested Capital ($M)"</f>
        <v>Series B Invested Capital ($M)</v>
      </c>
      <c r="C4" s="4">
        <v>2500000</v>
      </c>
    </row>
    <row r="5" spans="2:7" ht="14.25" customHeight="1" x14ac:dyDescent="0.3">
      <c r="B5" s="1" t="s">
        <v>2</v>
      </c>
      <c r="C5" s="5">
        <v>0.4</v>
      </c>
    </row>
    <row r="6" spans="2:7" ht="14.25" customHeight="1" x14ac:dyDescent="0.3">
      <c r="B6" s="1" t="s">
        <v>3</v>
      </c>
      <c r="C6" s="46">
        <f>C7-C4</f>
        <v>3750000</v>
      </c>
    </row>
    <row r="7" spans="2:7" ht="14.25" customHeight="1" x14ac:dyDescent="0.3">
      <c r="B7" s="1" t="s">
        <v>4</v>
      </c>
      <c r="C7" s="46">
        <f>C4/C5</f>
        <v>6250000</v>
      </c>
    </row>
    <row r="8" spans="2:7" ht="14.25" customHeight="1" x14ac:dyDescent="0.3">
      <c r="B8" s="1" t="str">
        <f>"Series "&amp;C3&amp;" Price per Share"</f>
        <v>Series B Price per Share</v>
      </c>
      <c r="C8" s="45">
        <f>C6/D23</f>
        <v>1.948051948051948</v>
      </c>
    </row>
    <row r="9" spans="2:7" ht="14.25" customHeight="1" x14ac:dyDescent="0.3">
      <c r="B9" s="1" t="str">
        <f>"Series "&amp;C3&amp; " Shares"</f>
        <v>Series B Shares</v>
      </c>
      <c r="C9" s="39">
        <f>C4/C8</f>
        <v>1283333.3333333333</v>
      </c>
    </row>
    <row r="10" spans="2:7" ht="14.25" customHeight="1" x14ac:dyDescent="0.25"/>
    <row r="11" spans="2:7" ht="21" x14ac:dyDescent="0.4">
      <c r="B11" s="7" t="s">
        <v>5</v>
      </c>
      <c r="C11" s="7"/>
      <c r="D11" s="9"/>
      <c r="E11" s="9"/>
      <c r="F11" s="9"/>
    </row>
    <row r="12" spans="2:7" ht="14.25" customHeight="1" thickBot="1" x14ac:dyDescent="0.3">
      <c r="B12" s="10" t="str">
        <f>"Series "&amp;C3&amp; " Investment Round" &amp;TEXT(C2," mm/yy")</f>
        <v>Series B Investment Round 01/21</v>
      </c>
      <c r="C12" s="10"/>
      <c r="D12" s="44">
        <f>C4/1000000</f>
        <v>2.5</v>
      </c>
      <c r="E12" s="12"/>
      <c r="F12" s="13"/>
    </row>
    <row r="13" spans="2:7" ht="14.25" customHeight="1" x14ac:dyDescent="0.25">
      <c r="B13" s="14"/>
      <c r="C13" s="14"/>
      <c r="D13" s="15"/>
      <c r="E13" s="9"/>
      <c r="F13" s="16"/>
    </row>
    <row r="14" spans="2:7" ht="14.25" customHeight="1" x14ac:dyDescent="0.25">
      <c r="B14" s="17"/>
      <c r="C14" s="43"/>
      <c r="D14" s="51" t="s">
        <v>6</v>
      </c>
      <c r="E14" s="49"/>
      <c r="F14" s="50"/>
      <c r="G14" s="18"/>
    </row>
    <row r="15" spans="2:7" ht="14.25" customHeight="1" x14ac:dyDescent="0.25">
      <c r="B15" s="19" t="s">
        <v>7</v>
      </c>
      <c r="C15" s="21" t="s">
        <v>25</v>
      </c>
      <c r="D15" s="21" t="s">
        <v>8</v>
      </c>
      <c r="E15" s="21" t="s">
        <v>9</v>
      </c>
      <c r="F15" s="22" t="s">
        <v>13</v>
      </c>
      <c r="G15" s="23" t="s">
        <v>14</v>
      </c>
    </row>
    <row r="16" spans="2:7" ht="14.25" customHeight="1" x14ac:dyDescent="0.3">
      <c r="B16" s="24" t="s">
        <v>15</v>
      </c>
      <c r="C16" s="42">
        <v>0</v>
      </c>
      <c r="D16" s="25">
        <v>1000000</v>
      </c>
      <c r="E16" s="25"/>
      <c r="F16" s="9">
        <f t="shared" ref="F16:F22" si="0">SUM(D16:E16)</f>
        <v>1000000</v>
      </c>
      <c r="G16" s="37">
        <f t="shared" ref="G16:G22" si="1">F16/$F$23</f>
        <v>0.31168831168831174</v>
      </c>
    </row>
    <row r="17" spans="2:7" ht="14.25" customHeight="1" x14ac:dyDescent="0.3">
      <c r="B17" s="24" t="s">
        <v>16</v>
      </c>
      <c r="C17" s="42">
        <v>0</v>
      </c>
      <c r="D17" s="25">
        <v>500000</v>
      </c>
      <c r="E17" s="25"/>
      <c r="F17" s="9">
        <f t="shared" si="0"/>
        <v>500000</v>
      </c>
      <c r="G17" s="37">
        <f t="shared" si="1"/>
        <v>0.15584415584415587</v>
      </c>
    </row>
    <row r="18" spans="2:7" ht="14.25" customHeight="1" x14ac:dyDescent="0.3">
      <c r="B18" s="24" t="s">
        <v>17</v>
      </c>
      <c r="C18" s="42">
        <v>0</v>
      </c>
      <c r="D18" s="25">
        <v>200000</v>
      </c>
      <c r="E18" s="25"/>
      <c r="F18" s="9">
        <f t="shared" si="0"/>
        <v>200000</v>
      </c>
      <c r="G18" s="37">
        <f t="shared" si="1"/>
        <v>6.2337662337662345E-2</v>
      </c>
    </row>
    <row r="19" spans="2:7" ht="14.25" customHeight="1" x14ac:dyDescent="0.3">
      <c r="B19" s="24" t="s">
        <v>18</v>
      </c>
      <c r="C19" s="42">
        <v>0</v>
      </c>
      <c r="D19" s="25">
        <v>200000</v>
      </c>
      <c r="E19" s="25"/>
      <c r="F19" s="9">
        <f t="shared" si="0"/>
        <v>200000</v>
      </c>
      <c r="G19" s="37">
        <f t="shared" si="1"/>
        <v>6.2337662337662345E-2</v>
      </c>
    </row>
    <row r="20" spans="2:7" ht="14.25" customHeight="1" x14ac:dyDescent="0.3">
      <c r="B20" s="24" t="s">
        <v>19</v>
      </c>
      <c r="C20" s="42">
        <v>0</v>
      </c>
      <c r="D20" s="25">
        <v>25000</v>
      </c>
      <c r="E20" s="25"/>
      <c r="F20" s="9">
        <f t="shared" si="0"/>
        <v>25000</v>
      </c>
      <c r="G20" s="37">
        <f t="shared" si="1"/>
        <v>7.7922077922077931E-3</v>
      </c>
    </row>
    <row r="21" spans="2:7" ht="14.25" customHeight="1" x14ac:dyDescent="0.3">
      <c r="B21" s="24" t="s">
        <v>24</v>
      </c>
      <c r="C21" s="42">
        <v>1250000</v>
      </c>
      <c r="D21" s="25"/>
      <c r="E21" s="28">
        <f>(C21/C4)*C9</f>
        <v>641666.66666666663</v>
      </c>
      <c r="F21" s="28">
        <f t="shared" si="0"/>
        <v>641666.66666666663</v>
      </c>
      <c r="G21" s="37">
        <f t="shared" si="1"/>
        <v>0.2</v>
      </c>
    </row>
    <row r="22" spans="2:7" ht="14.25" customHeight="1" x14ac:dyDescent="0.3">
      <c r="B22" s="24" t="s">
        <v>23</v>
      </c>
      <c r="C22" s="41">
        <v>1250000</v>
      </c>
      <c r="D22" s="25"/>
      <c r="E22" s="9">
        <f>(C22/C4)*C9</f>
        <v>641666.66666666663</v>
      </c>
      <c r="F22" s="9">
        <f t="shared" si="0"/>
        <v>641666.66666666663</v>
      </c>
      <c r="G22" s="37">
        <f t="shared" si="1"/>
        <v>0.2</v>
      </c>
    </row>
    <row r="23" spans="2:7" ht="14.25" customHeight="1" x14ac:dyDescent="0.25">
      <c r="B23" s="29" t="s">
        <v>21</v>
      </c>
      <c r="C23" s="40">
        <f>SUM(C16:C22)</f>
        <v>2500000</v>
      </c>
      <c r="D23" s="30">
        <f>SUM(D16:D22)</f>
        <v>1925000</v>
      </c>
      <c r="E23" s="30">
        <f>SUM(E16:E22)</f>
        <v>1283333.3333333333</v>
      </c>
      <c r="F23" s="30">
        <f>SUM(F16:F22)</f>
        <v>3208333.333333333</v>
      </c>
      <c r="G23" s="31">
        <f>SUM(G16:G22)</f>
        <v>1</v>
      </c>
    </row>
    <row r="24" spans="2:7" ht="14.25" customHeight="1" x14ac:dyDescent="0.25">
      <c r="B24" s="32" t="s">
        <v>22</v>
      </c>
      <c r="C24" s="32" t="str">
        <f>IF(C23=C4,"","error")</f>
        <v/>
      </c>
      <c r="D24" s="33">
        <f>D23/$F$23</f>
        <v>0.60000000000000009</v>
      </c>
      <c r="E24" s="33">
        <f>E23/$F$23</f>
        <v>0.4</v>
      </c>
      <c r="F24" s="33">
        <f>F23/$F$23</f>
        <v>1</v>
      </c>
      <c r="G24" s="34"/>
    </row>
    <row r="25" spans="2:7" ht="14.25" customHeight="1" x14ac:dyDescent="0.25"/>
    <row r="26" spans="2:7" ht="14.25" customHeight="1" x14ac:dyDescent="0.25"/>
    <row r="27" spans="2:7" ht="14.25" customHeight="1" x14ac:dyDescent="0.25"/>
    <row r="28" spans="2:7" ht="14.25" customHeight="1" x14ac:dyDescent="0.25"/>
    <row r="29" spans="2:7" ht="14.25" customHeight="1" x14ac:dyDescent="0.25"/>
    <row r="30" spans="2:7" ht="14.25" customHeight="1" x14ac:dyDescent="0.3">
      <c r="G30" s="39"/>
    </row>
    <row r="31" spans="2:7" ht="14.25" customHeight="1" x14ac:dyDescent="0.25"/>
    <row r="32" spans="2:7" ht="14.25" customHeight="1" x14ac:dyDescent="0.25"/>
    <row r="33" spans="7:7" ht="14.25" customHeight="1" x14ac:dyDescent="0.3">
      <c r="G33" s="38"/>
    </row>
    <row r="34" spans="7:7" ht="14.25" customHeight="1" x14ac:dyDescent="0.3">
      <c r="G34" s="38"/>
    </row>
    <row r="35" spans="7:7" ht="14.25" customHeight="1" x14ac:dyDescent="0.3">
      <c r="G35" s="37"/>
    </row>
    <row r="36" spans="7:7" ht="14.25" customHeight="1" x14ac:dyDescent="0.25"/>
    <row r="37" spans="7:7" ht="14.25" customHeight="1" x14ac:dyDescent="0.25"/>
    <row r="38" spans="7:7" ht="14.25" customHeight="1" x14ac:dyDescent="0.25"/>
    <row r="39" spans="7:7" ht="14.25" customHeight="1" x14ac:dyDescent="0.25"/>
    <row r="40" spans="7:7" ht="14.25" customHeight="1" x14ac:dyDescent="0.25"/>
    <row r="41" spans="7:7" ht="14.25" customHeight="1" x14ac:dyDescent="0.25"/>
    <row r="42" spans="7:7" ht="14.25" customHeight="1" x14ac:dyDescent="0.25"/>
    <row r="43" spans="7:7" ht="14.25" customHeight="1" x14ac:dyDescent="0.25"/>
    <row r="44" spans="7:7" ht="14.25" customHeight="1" x14ac:dyDescent="0.25"/>
    <row r="45" spans="7:7" ht="14.25" customHeight="1" x14ac:dyDescent="0.25"/>
    <row r="46" spans="7:7" ht="14.25" customHeight="1" x14ac:dyDescent="0.25"/>
    <row r="47" spans="7:7" ht="14.25" customHeight="1" x14ac:dyDescent="0.25"/>
    <row r="48" spans="7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D14:F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2020-11-10T05:12:09Z</dcterms:created>
  <dcterms:modified xsi:type="dcterms:W3CDTF">2023-01-24T11:54:38Z</dcterms:modified>
</cp:coreProperties>
</file>